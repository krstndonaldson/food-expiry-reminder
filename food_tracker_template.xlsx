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7fd425c00ae9bb/Documents/My Projects/Food Expiry Reminder/"/>
    </mc:Choice>
  </mc:AlternateContent>
  <xr:revisionPtr revIDLastSave="0" documentId="8_{B203BE6F-59F7-45FE-8C16-E77E70EFD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od Tracker" sheetId="1" r:id="rId1"/>
    <sheet name="Shelf Lif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F3" i="1"/>
  <c r="G3" i="1" s="1"/>
  <c r="F4" i="1"/>
  <c r="F5" i="1"/>
  <c r="F2" i="1"/>
  <c r="G2" i="1" s="1"/>
  <c r="G4" i="1"/>
</calcChain>
</file>

<file path=xl/sharedStrings.xml><?xml version="1.0" encoding="utf-8"?>
<sst xmlns="http://schemas.openxmlformats.org/spreadsheetml/2006/main" count="44" uniqueCount="29">
  <si>
    <t>Item</t>
  </si>
  <si>
    <t>Date bought</t>
  </si>
  <si>
    <t>Best before</t>
  </si>
  <si>
    <t>Status</t>
  </si>
  <si>
    <t>Date opened</t>
  </si>
  <si>
    <t>Days good once opened</t>
  </si>
  <si>
    <t>Use by</t>
  </si>
  <si>
    <t>Milk</t>
  </si>
  <si>
    <t>Unopened</t>
  </si>
  <si>
    <t>Opened</t>
  </si>
  <si>
    <t>Days once opened</t>
  </si>
  <si>
    <t>Source</t>
  </si>
  <si>
    <t>Health Canada</t>
  </si>
  <si>
    <t>Yogurt</t>
  </si>
  <si>
    <t>Cottage cheese</t>
  </si>
  <si>
    <t>Butter</t>
  </si>
  <si>
    <t>Firm cheese</t>
  </si>
  <si>
    <t>Hot dogs</t>
  </si>
  <si>
    <t>Eggs (in shell)</t>
  </si>
  <si>
    <t>Health Canada (3 to 4 weeks)</t>
  </si>
  <si>
    <t>Leftovers, cooked dishes</t>
  </si>
  <si>
    <t>Soup, leftover</t>
  </si>
  <si>
    <t>Canadian Food Focus</t>
  </si>
  <si>
    <t>Onions (pantry)</t>
  </si>
  <si>
    <t>Love Food Hate Waste Canada</t>
  </si>
  <si>
    <t>Green onions</t>
  </si>
  <si>
    <t>Berries</t>
  </si>
  <si>
    <t>Apples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</si>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</sst>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[$-1009]mmmm\ d\,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sz val="12"/>
      <color theme="1"/>
      <name val="Malgun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17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4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algun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Malgun Gothic"/>
        <family val="2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9FDC3-4606-4D0B-8E94-420EDA4E975B}" name="FoodTracker" displayName="FoodTracker" ref="A1:G5" headerRowDxfId="8" dataDxfId="1" totalsRowDxfId="9">
  <autoFilter ref="A1:G5" xr:uid="{2F89FDC3-4606-4D0B-8E94-420EDA4E975B}"/>
  <tableColumns count="7">
    <tableColumn id="1" xr3:uid="{02A5ECAE-340B-4D00-8DD4-1686BF45C62F}" name="Item" totalsRowLabel="Total" dataDxfId="7"/>
    <tableColumn id="2" xr3:uid="{C76FA436-060C-404B-9E48-4F22D9892E27}" name="Date bought" dataDxfId="6"/>
    <tableColumn id="3" xr3:uid="{D2A0D056-02FC-4D27-8EE7-1C24316F7128}" name="Best before" dataDxfId="5"/>
    <tableColumn id="4" xr3:uid="{F591CD9E-D8CC-4BC6-8959-6523309F38D0}" name="Status" dataDxfId="4"/>
    <tableColumn id="5" xr3:uid="{6D23DB34-BD08-4FD0-9E6D-EEC863F5DFAF}" name="Date opened" dataDxfId="3"/>
    <tableColumn id="6" xr3:uid="{BBDC176F-6B29-4F8A-849C-8F14FDCD2F78}" name="Days good once opened" dataDxfId="0">
      <calculatedColumnFormula>IF(FoodTracker[[#This Row],[Status]]="Opened", _xlfn.XLOOKUP(FoodTracker[[#This Row],[Item]], ShelfLife[Item], ShelfLife[Days once opened], ""), "")</calculatedColumnFormula>
    </tableColumn>
    <tableColumn id="7" xr3:uid="{A305B64E-802E-42AA-819A-534EB90EFE70}" name="Use by" totalsRowFunction="count" dataDxfId="2">
      <calculatedColumnFormula>IF(FoodTracker[[#This Row],[Best before]]="","",IF(AND(FoodTracker[[#This Row],[Status]]="Opened",FoodTracker[[#This Row],[Date opened]]&lt;&gt;"",ISNUMBER(FoodTracker[[#This Row],[Days good once opened]])),MIN(FoodTracker[[#This Row],[Best before]],FoodTracker[[#This Row],[Date opened]]+FoodTracker[[#This Row],[Days good once opened]]),FoodTracker[[#This Row],[Best before]]))</calculatedColumnFormula>
    </tableColumn>
  </tableColumns>
  <tableStyleInfo name="TableStyleLight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4B54FD-287D-4B57-82DD-1F41F0C044A3}" name="ShelfLife" displayName="ShelfLife" ref="A1:C14" totalsRowShown="0" dataDxfId="10">
  <autoFilter ref="A1:C14" xr:uid="{F64B54FD-287D-4B57-82DD-1F41F0C044A3}"/>
  <tableColumns count="3">
    <tableColumn id="1" xr3:uid="{78704511-C6CD-48AF-A9CC-D668C1302467}" name="Item" dataDxfId="13"/>
    <tableColumn id="2" xr3:uid="{AB4F9C1E-B857-43AD-B4BF-334888BEF92F}" name="Days once opened" dataDxfId="12"/>
    <tableColumn id="3" xr3:uid="{C764CB1F-1032-4227-AB9E-FB498F90C489}" name="Sourc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68" workbookViewId="0">
      <selection activeCell="B7" sqref="B7"/>
    </sheetView>
  </sheetViews>
  <sheetFormatPr defaultRowHeight="17" x14ac:dyDescent="0.45"/>
  <cols>
    <col min="1" max="1" width="19.26953125" style="2" customWidth="1"/>
    <col min="2" max="2" width="30.453125" style="2" customWidth="1"/>
    <col min="3" max="3" width="27.7265625" style="2" customWidth="1"/>
    <col min="4" max="4" width="22.7265625" style="2" customWidth="1"/>
    <col min="5" max="5" width="28.26953125" style="2" customWidth="1"/>
    <col min="6" max="6" width="28.7265625" style="2" customWidth="1"/>
    <col min="7" max="7" width="28.08984375" style="2" customWidth="1"/>
    <col min="8" max="16384" width="8.7265625" style="2"/>
  </cols>
  <sheetData>
    <row r="1" spans="1:7" ht="30.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7.5" x14ac:dyDescent="0.45">
      <c r="A2" s="8" t="s">
        <v>7</v>
      </c>
      <c r="B2" s="5">
        <v>46296</v>
      </c>
      <c r="C2" s="5">
        <v>46301</v>
      </c>
      <c r="D2" s="4" t="s">
        <v>9</v>
      </c>
      <c r="E2" s="5">
        <v>46298</v>
      </c>
      <c r="F2" s="4">
        <f>IF(FoodTracker[[#This Row],[Status]]="Opened", _xlfn.XLOOKUP(FoodTracker[[#This Row],[Item]], ShelfLife[Item], ShelfLife[Days once opened], ""), "")</f>
        <v>3</v>
      </c>
      <c r="G2" s="5">
        <f>IF(FoodTracker[[#This Row],[Best before]]="","",IF(AND(FoodTracker[[#This Row],[Status]]="Opened",FoodTracker[[#This Row],[Date opened]]&lt;&gt;"",ISNUMBER(FoodTracker[[#This Row],[Days good once opened]])),MIN(FoodTracker[[#This Row],[Best before]],FoodTracker[[#This Row],[Date opened]]+FoodTracker[[#This Row],[Days good once opened]]),FoodTracker[[#This Row],[Best before]]))</f>
        <v>46301</v>
      </c>
    </row>
    <row r="3" spans="1:7" ht="17.5" x14ac:dyDescent="0.45">
      <c r="A3" s="8" t="s">
        <v>13</v>
      </c>
      <c r="B3" s="5">
        <v>46267</v>
      </c>
      <c r="C3" s="5">
        <v>46300</v>
      </c>
      <c r="D3" s="4" t="s">
        <v>8</v>
      </c>
      <c r="E3" s="5">
        <v>46300</v>
      </c>
      <c r="F3" s="4" t="str">
        <f>IF(FoodTracker[[#This Row],[Status]]="Opened", _xlfn.XLOOKUP(FoodTracker[[#This Row],[Item]], ShelfLife[Item], ShelfLife[Days once opened], ""), "")</f>
        <v/>
      </c>
      <c r="G3" s="5">
        <f>IF(FoodTracker[[#This Row],[Best before]]="","",IF(AND(FoodTracker[[#This Row],[Status]]="Opened",FoodTracker[[#This Row],[Date opened]]&lt;&gt;"",ISNUMBER(FoodTracker[[#This Row],[Days good once opened]])),MIN(FoodTracker[[#This Row],[Best before]],FoodTracker[[#This Row],[Date opened]]+FoodTracker[[#This Row],[Days good once opened]]),FoodTracker[[#This Row],[Best before]]))</f>
        <v>46300</v>
      </c>
    </row>
    <row r="4" spans="1:7" ht="17.5" x14ac:dyDescent="0.45">
      <c r="A4" s="8" t="s">
        <v>14</v>
      </c>
      <c r="B4" s="5">
        <v>46268</v>
      </c>
      <c r="C4" s="5">
        <v>46297</v>
      </c>
      <c r="D4" s="4" t="s">
        <v>8</v>
      </c>
      <c r="E4" s="5"/>
      <c r="F4" s="4" t="str">
        <f>IF(FoodTracker[[#This Row],[Status]]="Opened", _xlfn.XLOOKUP(FoodTracker[[#This Row],[Item]], ShelfLife[Item], ShelfLife[Days once opened], ""), "")</f>
        <v/>
      </c>
      <c r="G4" s="5">
        <f>IF(FoodTracker[[#This Row],[Best before]]="","",IF(AND(FoodTracker[[#This Row],[Status]]="Opened",FoodTracker[[#This Row],[Date opened]]&lt;&gt;"",ISNUMBER(FoodTracker[[#This Row],[Days good once opened]])),MIN(FoodTracker[[#This Row],[Best before]],FoodTracker[[#This Row],[Date opened]]+FoodTracker[[#This Row],[Days good once opened]]),FoodTracker[[#This Row],[Best before]]))</f>
        <v>46297</v>
      </c>
    </row>
    <row r="5" spans="1:7" ht="17.5" x14ac:dyDescent="0.45">
      <c r="A5" s="8" t="s">
        <v>15</v>
      </c>
      <c r="B5" s="5">
        <v>46285</v>
      </c>
      <c r="C5" s="5">
        <v>46305</v>
      </c>
      <c r="D5" s="4" t="s">
        <v>28</v>
      </c>
      <c r="E5" s="5">
        <v>46290</v>
      </c>
      <c r="F5" s="4" t="str">
        <f>IF(FoodTracker[[#This Row],[Status]]="Opened", _xlfn.XLOOKUP(FoodTracker[[#This Row],[Item]], ShelfLife[Item], ShelfLife[Days once opened], ""), "")</f>
        <v/>
      </c>
      <c r="G5" s="5">
        <f>IF(FoodTracker[[#This Row],[Best before]]="","",IF(AND(FoodTracker[[#This Row],[Status]]="Opened",FoodTracker[[#This Row],[Date opened]]&lt;&gt;"",ISNUMBER(FoodTracker[[#This Row],[Days good once opened]])),MIN(FoodTracker[[#This Row],[Best before]],FoodTracker[[#This Row],[Date opened]]+FoodTracker[[#This Row],[Days good once opened]]),FoodTracker[[#This Row],[Best before]]))</f>
        <v>46305</v>
      </c>
    </row>
    <row r="6" spans="1:7" ht="17.5" x14ac:dyDescent="0.45">
      <c r="A6" s="6"/>
      <c r="B6" s="7"/>
      <c r="C6" s="7"/>
      <c r="D6" s="6"/>
      <c r="E6" s="7"/>
      <c r="F6" s="4"/>
      <c r="G6" s="7"/>
    </row>
    <row r="7" spans="1:7" ht="17.5" x14ac:dyDescent="0.45">
      <c r="A7" s="6"/>
      <c r="B7" s="7"/>
      <c r="C7" s="7"/>
      <c r="D7" s="6"/>
      <c r="E7" s="7"/>
      <c r="F7" s="4"/>
      <c r="G7" s="7"/>
    </row>
    <row r="8" spans="1:7" ht="17.5" x14ac:dyDescent="0.45">
      <c r="A8" s="6"/>
      <c r="B8" s="7"/>
      <c r="C8" s="7"/>
      <c r="D8" s="6"/>
      <c r="E8" s="7"/>
      <c r="F8" s="4"/>
      <c r="G8" s="7"/>
    </row>
    <row r="9" spans="1:7" ht="17.5" x14ac:dyDescent="0.45">
      <c r="A9" s="6"/>
      <c r="B9" s="7"/>
      <c r="C9" s="7"/>
      <c r="D9" s="6"/>
      <c r="E9" s="7"/>
      <c r="F9" s="4"/>
      <c r="G9" s="7"/>
    </row>
    <row r="10" spans="1:7" ht="17.5" x14ac:dyDescent="0.45">
      <c r="A10" s="6"/>
      <c r="B10" s="7"/>
      <c r="C10" s="7"/>
      <c r="D10" s="6"/>
      <c r="E10" s="7"/>
      <c r="F10" s="4"/>
      <c r="G10" s="7"/>
    </row>
    <row r="11" spans="1:7" ht="17.5" x14ac:dyDescent="0.45">
      <c r="A11" s="6"/>
      <c r="B11" s="7"/>
      <c r="C11" s="7"/>
      <c r="D11" s="6"/>
      <c r="E11" s="7"/>
      <c r="F11" s="4"/>
      <c r="G11" s="7"/>
    </row>
    <row r="12" spans="1:7" ht="17.5" x14ac:dyDescent="0.45">
      <c r="A12" s="6"/>
      <c r="B12" s="7"/>
      <c r="C12" s="7"/>
      <c r="D12" s="6"/>
      <c r="E12" s="7"/>
      <c r="F12" s="4"/>
      <c r="G12" s="7"/>
    </row>
    <row r="13" spans="1:7" ht="17.5" x14ac:dyDescent="0.45">
      <c r="A13" s="6"/>
      <c r="B13" s="7"/>
      <c r="C13" s="7"/>
      <c r="D13" s="6"/>
      <c r="E13" s="7"/>
      <c r="F13" s="4"/>
      <c r="G13" s="7"/>
    </row>
    <row r="14" spans="1:7" ht="17.5" x14ac:dyDescent="0.45">
      <c r="A14" s="6"/>
      <c r="B14" s="7"/>
      <c r="C14" s="7"/>
      <c r="D14" s="6"/>
      <c r="E14" s="7"/>
      <c r="F14" s="4"/>
      <c r="G14" s="7"/>
    </row>
    <row r="15" spans="1:7" ht="17.5" x14ac:dyDescent="0.45">
      <c r="A15" s="6"/>
      <c r="B15" s="7"/>
      <c r="C15" s="7"/>
      <c r="D15" s="6"/>
      <c r="E15" s="7"/>
      <c r="F15" s="4"/>
      <c r="G15" s="7"/>
    </row>
    <row r="16" spans="1:7" ht="17.5" x14ac:dyDescent="0.45">
      <c r="A16" s="6"/>
      <c r="B16" s="7"/>
      <c r="C16" s="7"/>
      <c r="D16" s="6"/>
      <c r="E16" s="7"/>
      <c r="F16" s="4"/>
      <c r="G16" s="7"/>
    </row>
    <row r="17" spans="1:7" ht="17.5" x14ac:dyDescent="0.45">
      <c r="A17" s="6"/>
      <c r="B17" s="7"/>
      <c r="C17" s="7"/>
      <c r="D17" s="6"/>
      <c r="E17" s="7"/>
      <c r="F17" s="4"/>
      <c r="G17" s="7"/>
    </row>
    <row r="18" spans="1:7" ht="17.5" x14ac:dyDescent="0.45">
      <c r="A18" s="6"/>
      <c r="B18" s="7"/>
      <c r="C18" s="7"/>
      <c r="D18" s="6"/>
      <c r="E18" s="7"/>
      <c r="F18" s="4"/>
      <c r="G18" s="7"/>
    </row>
    <row r="19" spans="1:7" ht="17.5" x14ac:dyDescent="0.45">
      <c r="A19" s="6"/>
      <c r="B19" s="7"/>
      <c r="C19" s="7"/>
      <c r="D19" s="6"/>
      <c r="E19" s="7"/>
      <c r="F19" s="4"/>
      <c r="G19" s="7"/>
    </row>
    <row r="20" spans="1:7" ht="17.5" x14ac:dyDescent="0.45">
      <c r="A20" s="6"/>
      <c r="B20" s="7"/>
      <c r="C20" s="7"/>
      <c r="D20" s="6"/>
      <c r="E20" s="7"/>
      <c r="F20" s="4"/>
      <c r="G20" s="7"/>
    </row>
    <row r="21" spans="1:7" ht="17.5" x14ac:dyDescent="0.45">
      <c r="A21" s="6"/>
      <c r="B21" s="7"/>
      <c r="C21" s="7"/>
      <c r="D21" s="6"/>
      <c r="E21" s="7"/>
      <c r="F21" s="4"/>
      <c r="G21" s="7"/>
    </row>
    <row r="22" spans="1:7" ht="17.5" x14ac:dyDescent="0.45">
      <c r="A22" s="6"/>
      <c r="B22" s="7"/>
      <c r="C22" s="7"/>
      <c r="D22" s="6"/>
      <c r="E22" s="7"/>
      <c r="F22" s="4"/>
      <c r="G22" s="7"/>
    </row>
    <row r="23" spans="1:7" ht="17.5" x14ac:dyDescent="0.45">
      <c r="A23" s="6"/>
      <c r="B23" s="7"/>
      <c r="C23" s="7"/>
      <c r="D23" s="6"/>
      <c r="E23" s="7"/>
      <c r="F23" s="4"/>
      <c r="G23" s="7"/>
    </row>
    <row r="24" spans="1:7" ht="17.5" x14ac:dyDescent="0.45">
      <c r="A24" s="6"/>
      <c r="B24" s="7"/>
      <c r="C24" s="7"/>
      <c r="D24" s="6"/>
      <c r="E24" s="7"/>
      <c r="F24" s="4"/>
      <c r="G24" s="7"/>
    </row>
    <row r="25" spans="1:7" ht="17.5" x14ac:dyDescent="0.45">
      <c r="A25" s="6"/>
      <c r="B25" s="7"/>
      <c r="C25" s="7"/>
      <c r="D25" s="6"/>
      <c r="E25" s="7"/>
      <c r="F25" s="4"/>
      <c r="G25" s="7"/>
    </row>
  </sheetData>
  <dataValidations count="5">
    <dataValidation allowBlank="1" showInputMessage="1" showErrorMessage="1" promptTitle="What is this?" prompt="This is the date printed on the package." sqref="C1" xr:uid="{6158BF2C-94A5-485B-A843-C015D81362F8}"/>
    <dataValidation allowBlank="1" showInputMessage="1" showErrorMessage="1" promptTitle="What is this?" prompt="Select whether your item is opened or not." sqref="D1" xr:uid="{191DBFC3-FBB5-46B3-B82C-734FF8EE3307}"/>
    <dataValidation type="list" allowBlank="1" showInputMessage="1" showErrorMessage="1" sqref="D2:D5" xr:uid="{BF80B775-F3D1-4F46-812C-E85F1D254D22}">
      <formula1>"Unopened, Opened, Done"</formula1>
    </dataValidation>
    <dataValidation type="list" allowBlank="1" showInputMessage="1" showErrorMessage="1" sqref="A2:A5" xr:uid="{EDDB1C66-5311-4B3C-A798-8EE300C4606F}">
      <formula1>INDIRECT("ShelfLife[Item]")</formula1>
    </dataValidation>
    <dataValidation type="date" allowBlank="1" showInputMessage="1" showErrorMessage="1" sqref="B2:B5" xr:uid="{16948178-71D2-4CD0-BFB7-4080D8C930CB}">
      <formula1>46023</formula1>
      <formula2>47484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51B3-7A1D-4542-BC55-3189E8D0E956}">
  <dimension ref="A1:C14"/>
  <sheetViews>
    <sheetView zoomScale="85" workbookViewId="0">
      <selection activeCell="D13" sqref="D13"/>
    </sheetView>
  </sheetViews>
  <sheetFormatPr defaultRowHeight="14.5" x14ac:dyDescent="0.35"/>
  <cols>
    <col min="1" max="1" width="25.26953125" customWidth="1"/>
    <col min="2" max="2" width="20.81640625" customWidth="1"/>
    <col min="3" max="3" width="24.7265625" customWidth="1"/>
  </cols>
  <sheetData>
    <row r="1" spans="1:3" x14ac:dyDescent="0.35">
      <c r="A1" t="s">
        <v>0</v>
      </c>
      <c r="B1" t="s">
        <v>10</v>
      </c>
      <c r="C1" t="s">
        <v>11</v>
      </c>
    </row>
    <row r="2" spans="1:3" x14ac:dyDescent="0.35">
      <c r="A2" s="1" t="s">
        <v>7</v>
      </c>
      <c r="B2" s="1">
        <v>3</v>
      </c>
      <c r="C2" s="1" t="s">
        <v>12</v>
      </c>
    </row>
    <row r="3" spans="1:3" x14ac:dyDescent="0.35">
      <c r="A3" s="1" t="s">
        <v>13</v>
      </c>
      <c r="B3" s="1">
        <v>3</v>
      </c>
      <c r="C3" s="1" t="s">
        <v>12</v>
      </c>
    </row>
    <row r="4" spans="1:3" x14ac:dyDescent="0.35">
      <c r="A4" s="1" t="s">
        <v>14</v>
      </c>
      <c r="B4" s="1">
        <v>3</v>
      </c>
      <c r="C4" s="1" t="s">
        <v>12</v>
      </c>
    </row>
    <row r="5" spans="1:3" x14ac:dyDescent="0.35">
      <c r="A5" s="1" t="s">
        <v>15</v>
      </c>
      <c r="B5" s="1">
        <v>21</v>
      </c>
      <c r="C5" s="1" t="s">
        <v>12</v>
      </c>
    </row>
    <row r="6" spans="1:3" x14ac:dyDescent="0.35">
      <c r="A6" s="1" t="s">
        <v>16</v>
      </c>
      <c r="B6" s="1">
        <v>35</v>
      </c>
      <c r="C6" s="1" t="s">
        <v>12</v>
      </c>
    </row>
    <row r="7" spans="1:3" x14ac:dyDescent="0.35">
      <c r="A7" s="1" t="s">
        <v>17</v>
      </c>
      <c r="B7" s="1">
        <v>7</v>
      </c>
      <c r="C7" s="1" t="s">
        <v>12</v>
      </c>
    </row>
    <row r="8" spans="1:3" ht="29" x14ac:dyDescent="0.35">
      <c r="A8" s="1" t="s">
        <v>18</v>
      </c>
      <c r="B8" s="1">
        <v>21</v>
      </c>
      <c r="C8" s="1" t="s">
        <v>19</v>
      </c>
    </row>
    <row r="9" spans="1:3" x14ac:dyDescent="0.35">
      <c r="A9" s="1" t="s">
        <v>20</v>
      </c>
      <c r="B9" s="1">
        <v>3</v>
      </c>
      <c r="C9" s="1" t="s">
        <v>12</v>
      </c>
    </row>
    <row r="10" spans="1:3" x14ac:dyDescent="0.35">
      <c r="A10" s="1" t="s">
        <v>21</v>
      </c>
      <c r="B10" s="1">
        <v>2</v>
      </c>
      <c r="C10" s="1" t="s">
        <v>22</v>
      </c>
    </row>
    <row r="11" spans="1:3" ht="29" x14ac:dyDescent="0.35">
      <c r="A11" s="1" t="s">
        <v>23</v>
      </c>
      <c r="B11" s="1">
        <v>21</v>
      </c>
      <c r="C11" s="1" t="s">
        <v>24</v>
      </c>
    </row>
    <row r="12" spans="1:3" ht="29" x14ac:dyDescent="0.35">
      <c r="A12" s="1" t="s">
        <v>25</v>
      </c>
      <c r="B12" s="1">
        <v>3</v>
      </c>
      <c r="C12" s="1" t="s">
        <v>24</v>
      </c>
    </row>
    <row r="13" spans="1:3" ht="29" x14ac:dyDescent="0.35">
      <c r="A13" s="1" t="s">
        <v>26</v>
      </c>
      <c r="B13" s="1">
        <v>2</v>
      </c>
      <c r="C13" s="1" t="s">
        <v>24</v>
      </c>
    </row>
    <row r="14" spans="1:3" ht="29" x14ac:dyDescent="0.35">
      <c r="A14" s="1" t="s">
        <v>27</v>
      </c>
      <c r="B14" s="1">
        <v>28</v>
      </c>
      <c r="C14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Tracker</vt:lpstr>
      <vt:lpstr>Shelf Life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kristina donaldson</dc:creator>
  <cp:keywords/>
  <dc:description/>
  <cp:lastModifiedBy>Kristina Donaldson</cp:lastModifiedBy>
  <cp:revision/>
  <dcterms:created xsi:type="dcterms:W3CDTF">2026-10-05T10:12:43Z</dcterms:created>
  <dcterms:modified xsi:type="dcterms:W3CDTF">2026-10-05T22:32:13Z</dcterms:modified>
  <cp:category/>
  <cp:contentStatus/>
</cp:coreProperties>
</file>